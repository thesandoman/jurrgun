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Weekly" sheetId="2" state="visible" r:id="rId4"/>
    <sheet name="Funnel" sheetId="3" state="visible" r:id="rId5"/>
    <sheet name="Targets vs live" sheetId="4" state="visible" r:id="rId6"/>
    <sheet name="Hosts need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Research &amp; Data</author>
  </authors>
  <commentList>
    <comment ref="B6" authorId="0">
      <text>
        <r>
          <rPr>
            <sz val="10"/>
            <rFont val="Arial"/>
            <family val="2"/>
          </rPr>
          <t xml:space="preserve">Source: design/reference/pilot-launch-plan.md, Goals for the 8-week pilot</t>
        </r>
      </text>
    </comment>
    <comment ref="B7" authorId="0">
      <text>
        <r>
          <rPr>
            <sz val="10"/>
            <rFont val="Arial"/>
            <family val="2"/>
          </rPr>
          <t xml:space="preserve">Source: design/reference/pilot-launch-plan.md, Goals for the 8-week pilot</t>
        </r>
      </text>
    </comment>
    <comment ref="B8" authorId="0">
      <text>
        <r>
          <rPr>
            <sz val="10"/>
            <rFont val="Arial"/>
            <family val="2"/>
          </rPr>
          <t xml:space="preserve">Source: design/reference/pilot-launch-plan.md, Goals for the 8-week pilot</t>
        </r>
      </text>
    </comment>
    <comment ref="B9" authorId="0">
      <text>
        <r>
          <rPr>
            <sz val="10"/>
            <rFont val="Arial"/>
            <family val="2"/>
          </rPr>
          <t xml:space="preserve">Source: design/reference/pilot-launch-plan.md, Goals for the 8-week pilot</t>
        </r>
      </text>
    </comment>
    <comment ref="B10" authorId="0">
      <text>
        <r>
          <rPr>
            <sz val="10"/>
            <rFont val="Arial"/>
            <family val="2"/>
          </rPr>
          <t xml:space="preserve">Source: design/reference/pilot-launch-plan.md, Goals for the 8-week pilot</t>
        </r>
      </text>
    </comment>
    <comment ref="B11" authorId="0">
      <text>
        <r>
          <rPr>
            <sz val="10"/>
            <rFont val="Arial"/>
            <family val="2"/>
          </rPr>
          <t xml:space="preserve">Source: design/reference/pilot-launch-plan.md, Goals for the 8-week pilot</t>
        </r>
      </text>
    </comment>
  </commentList>
</comments>
</file>

<file path=xl/sharedStrings.xml><?xml version="1.0" encoding="utf-8"?>
<sst xmlns="http://schemas.openxmlformats.org/spreadsheetml/2006/main" count="156" uniqueCount="128">
  <si>
    <t xml:space="preserve">PROTOTYPE INPUTS, NOT DATA. Every blue number is an assumption to replace with real pilot figures. Nothing here is a measured result.</t>
  </si>
  <si>
    <t xml:space="preserve">Jurrgun pilot forecast: assumptions</t>
  </si>
  <si>
    <t xml:space="preserve">Edit only the blue cells in column B. Yellow cells are the key levers. Every other sheet is formulas.</t>
  </si>
  <si>
    <t xml:space="preserve">Assumption</t>
  </si>
  <si>
    <t xml:space="preserve">Value</t>
  </si>
  <si>
    <t xml:space="preserve">Unit</t>
  </si>
  <si>
    <t xml:space="preserve">Source</t>
  </si>
  <si>
    <t xml:space="preserve">Pilot length</t>
  </si>
  <si>
    <t xml:space="preserve">weeks</t>
  </si>
  <si>
    <t xml:space="preserve">pilot plan §01 (8-week pilot)</t>
  </si>
  <si>
    <t xml:space="preserve">Table Hosts at week 1</t>
  </si>
  <si>
    <t xml:space="preserve">hosts</t>
  </si>
  <si>
    <t xml:space="preserve">pilot plan §02: recruit 12 to 16 Table Hosts (low end)</t>
  </si>
  <si>
    <t xml:space="preserve">New hosts approved per week</t>
  </si>
  <si>
    <t xml:space="preserve">hosts/week</t>
  </si>
  <si>
    <t xml:space="preserve">prototype input</t>
  </si>
  <si>
    <t xml:space="preserve">Host drop-off per week</t>
  </si>
  <si>
    <t xml:space="preserve">share</t>
  </si>
  <si>
    <t xml:space="preserve">Tables per host per week</t>
  </si>
  <si>
    <t xml:space="preserve">tables</t>
  </si>
  <si>
    <t xml:space="preserve">pilot plan §02: one fortnightly Regular Table each</t>
  </si>
  <si>
    <t xml:space="preserve">Other tables per week (newcomer slots, quests, go-together)</t>
  </si>
  <si>
    <t xml:space="preserve">tables/week</t>
  </si>
  <si>
    <t xml:space="preserve">prototype input (plan asks ≥3 a week per district across 4 districts, partly host-run)</t>
  </si>
  <si>
    <t xml:space="preserve">Seats per table</t>
  </si>
  <si>
    <t xml:space="preserve">seats</t>
  </si>
  <si>
    <t xml:space="preserve">pilot plan: tables of 4 to 6</t>
  </si>
  <si>
    <t xml:space="preserve">Closed-beta members at week 1</t>
  </si>
  <si>
    <t xml:space="preserve">members</t>
  </si>
  <si>
    <t xml:space="preserve">pilot plan §02: closed beta of 60 to 100</t>
  </si>
  <si>
    <t xml:space="preserve">New sign-ups in week 1</t>
  </si>
  <si>
    <t xml:space="preserve">Sign-up growth per week</t>
  </si>
  <si>
    <t xml:space="preserve">Registration → first RSVP (within the week)</t>
  </si>
  <si>
    <t xml:space="preserve">prototype input, set at the plan target (≥40%)</t>
  </si>
  <si>
    <t xml:space="preserve">Repeat RSVPs per active member per week</t>
  </si>
  <si>
    <t xml:space="preserve">RSVPs</t>
  </si>
  <si>
    <t xml:space="preserve">Member drop-off per week (stop booking)</t>
  </si>
  <si>
    <t xml:space="preserve">RSVP → check-in</t>
  </si>
  <si>
    <t xml:space="preserve">prototype input, set at the plan target (≥70%)</t>
  </si>
  <si>
    <t xml:space="preserve">Returning check-in who sits with someone met before</t>
  </si>
  <si>
    <t xml:space="preserve">prototype input (Regular Tables push this up)</t>
  </si>
  <si>
    <t xml:space="preserve">Checked in → ≥1 mutual connection</t>
  </si>
  <si>
    <t xml:space="preserve">prototype input, set at the plan target (≥50%)</t>
  </si>
  <si>
    <t xml:space="preserve">Legend</t>
  </si>
  <si>
    <t xml:space="preserve">Blue = input (edit). Black = formula. Green = link to another sheet. Yellow fill = key lever.</t>
  </si>
  <si>
    <t xml:space="preserve">Example of a real input once the pilot runs: Table Hosts at week 1 = the count of approved hosts on /admin, e.g. 14.</t>
  </si>
  <si>
    <t xml:space="preserve">Week by week, weeks 1 to 8 (all formulas from Assumptions)</t>
  </si>
  <si>
    <t xml:space="preserve">Week</t>
  </si>
  <si>
    <t xml:space="preserve">Table Hosts</t>
  </si>
  <si>
    <t xml:space="preserve">Tables</t>
  </si>
  <si>
    <t xml:space="preserve">Seats</t>
  </si>
  <si>
    <t xml:space="preserve">New sign-ups</t>
  </si>
  <si>
    <t xml:space="preserve">Active members (start of week)</t>
  </si>
  <si>
    <t xml:space="preserve">First RSVPs (new members)</t>
  </si>
  <si>
    <t xml:space="preserve">Repeat RSVPs</t>
  </si>
  <si>
    <t xml:space="preserve">RSVP demand</t>
  </si>
  <si>
    <t xml:space="preserve">RSVPs seated</t>
  </si>
  <si>
    <t xml:space="preserve">Fill (RSVPs ÷ seats)</t>
  </si>
  <si>
    <t xml:space="preserve">Check-ins</t>
  </si>
  <si>
    <t xml:space="preserve">Returning check-ins</t>
  </si>
  <si>
    <t xml:space="preserve">Reconnected members (north star)</t>
  </si>
  <si>
    <t xml:space="preserve">Checked in with ≥1 mutual connection</t>
  </si>
  <si>
    <t xml:space="preserve">Total / week 8</t>
  </si>
  <si>
    <t xml:space="preserve">Notes</t>
  </si>
  <si>
    <t xml:space="preserve">RSVPs seated is capped at seats: demand above that is lost, not queued (a waitlist would raise later weeks).</t>
  </si>
  <si>
    <t xml:space="preserve">Returning check-ins = check-ins × repeat share of demand. Reconnected = returning check-ins × 'sits with someone met before'.</t>
  </si>
  <si>
    <t xml:space="preserve">Week 8 reconnected is the figure compared with the plan's ≥ 60 a week. The live figure is weeklyReconnected (src/routes/admin/dashboard.tsx).</t>
  </si>
  <si>
    <t xml:space="preserve">Check-ins approximate members: one member rarely checks in twice in one week.</t>
  </si>
  <si>
    <t xml:space="preserve">Funnel over the 8 weeks, each step mapped to its real metric</t>
  </si>
  <si>
    <t xml:space="preserve">Step</t>
  </si>
  <si>
    <t xml:space="preserve">Forecast (8 weeks)</t>
  </si>
  <si>
    <t xml:space="preserve">Rate vs step before</t>
  </si>
  <si>
    <t xml:space="preserve">Real metric in the app</t>
  </si>
  <si>
    <t xml:space="preserve">Where</t>
  </si>
  <si>
    <t xml:space="preserve">Accounts created in the window</t>
  </si>
  <si>
    <t xml:space="preserve">insights.tsx: Registration → first RSVP base</t>
  </si>
  <si>
    <t xml:space="preserve">First RSVPs</t>
  </si>
  <si>
    <t xml:space="preserve">Registration → first RSVP (target ≥ 40%)</t>
  </si>
  <si>
    <t xml:space="preserve">insights.tsx KPI 'Registration → first RSVP'</t>
  </si>
  <si>
    <t xml:space="preserve">All RSVPs seated</t>
  </si>
  <si>
    <t xml:space="preserve">Registrations (expected attendance)</t>
  </si>
  <si>
    <t xml:space="preserve">insights.tsx attendance: expected</t>
  </si>
  <si>
    <t xml:space="preserve">Seats offered</t>
  </si>
  <si>
    <t xml:space="preserve">Seats on published tables. NOT TRACKED YET as a KPI</t>
  </si>
  <si>
    <t xml:space="preserve">gap: no fill KPI in insights.tsx</t>
  </si>
  <si>
    <t xml:space="preserve">Table fill (target ≥ 60%). NOT TRACKED YET</t>
  </si>
  <si>
    <t xml:space="preserve">gap: add RSVPs ÷ seats to insights.tsx</t>
  </si>
  <si>
    <t xml:space="preserve">RSVP → check-in (target ≥ 70%)</t>
  </si>
  <si>
    <t xml:space="preserve">insights.tsx KPI 'RSVP → check-in'</t>
  </si>
  <si>
    <t xml:space="preserve">Checked-in with ≥1 mutual connection (target ≥ 50%)</t>
  </si>
  <si>
    <t xml:space="preserve">insights.tsx KPI</t>
  </si>
  <si>
    <t xml:space="preserve">Reconnected members, week 8</t>
  </si>
  <si>
    <t xml:space="preserve">Weekly Reconnected Members (target ≥ 60 a week by week 8)</t>
  </si>
  <si>
    <t xml:space="preserve">dashboard.tsx weeklyReconnected</t>
  </si>
  <si>
    <t xml:space="preserve">Pilot targets vs forecast vs live</t>
  </si>
  <si>
    <t xml:space="preserve">Live column: type the figure from /admin/insights or the /admin trend (blue). Blank means not measured yet.</t>
  </si>
  <si>
    <t xml:space="preserve">Metric</t>
  </si>
  <si>
    <t xml:space="preserve">Target</t>
  </si>
  <si>
    <t xml:space="preserve">Direction</t>
  </si>
  <si>
    <t xml:space="preserve">Forecast</t>
  </si>
  <si>
    <t xml:space="preserve">Live (from the app)</t>
  </si>
  <si>
    <t xml:space="preserve">Forecast meets target?</t>
  </si>
  <si>
    <t xml:space="preserve">Live meets target?</t>
  </si>
  <si>
    <t xml:space="preserve">Weekly Reconnected Members, week 8</t>
  </si>
  <si>
    <t xml:space="preserve">&gt;=</t>
  </si>
  <si>
    <t xml:space="preserve">Members in the pilot (beta + sign-ups)</t>
  </si>
  <si>
    <t xml:space="preserve">Registration → first RSVP</t>
  </si>
  <si>
    <t xml:space="preserve">Table fill (RSVPs ÷ seats)</t>
  </si>
  <si>
    <t xml:space="preserve">Checked in → mutual connection</t>
  </si>
  <si>
    <t xml:space="preserve">Targets not modelled here: felt safe ≥ 90%, harassment &lt; 1 per 100 attendees, ≥ 50 pieces of UGC (pilot plan).</t>
  </si>
  <si>
    <t xml:space="preserve">Live figures are BMA-safe aggregates: under 10 shows as "&lt;10" in the app; leave the cell blank then.</t>
  </si>
  <si>
    <t xml:space="preserve">What it would take to reach the week-8 target</t>
  </si>
  <si>
    <t xml:space="preserve">Repeat share of week-8 demand</t>
  </si>
  <si>
    <t xml:space="preserve">RSVPs seated needed in week 8</t>
  </si>
  <si>
    <t xml:space="preserve">Tables needed in week 8 (all seats filled)</t>
  </si>
  <si>
    <t xml:space="preserve">Table Hosts needed in week 8</t>
  </si>
  <si>
    <t xml:space="preserve">Table Hosts in the forecast, week 8</t>
  </si>
  <si>
    <t xml:space="preserve">Reads: at today's assumptions, seats run out from week 4, so supply (hosts and tables), not sign-ups, limits the north star.</t>
  </si>
  <si>
    <t xml:space="preserve">Hosts needed: week-8 reconnected members for hosts × tables per fortnight × seats</t>
  </si>
  <si>
    <t xml:space="preserve">Each cell: steady weekly reconnected = seats a week × fill × RSVP→check-in × repeat share × 'sits with someone met before'. Change the blue levers; cells at or above the target turn green.</t>
  </si>
  <si>
    <t xml:space="preserve">Fill assumed (sold-out tables are capped at 100%)</t>
  </si>
  <si>
    <t xml:space="preserve">Repeat share of RSVPs (from Weekly, week 8)</t>
  </si>
  <si>
    <t xml:space="preserve">Target: reconnected a week</t>
  </si>
  <si>
    <t xml:space="preserve">Other tables a week (not host-run)</t>
  </si>
  <si>
    <t xml:space="preserve">Seats per table = 6</t>
  </si>
  <si>
    <t xml:space="preserve">Table Hosts ↓ / tables per host per fortnight →</t>
  </si>
  <si>
    <t xml:space="preserve">Seats per table = 8</t>
  </si>
  <si>
    <t xml:space="preserve">1 table per fortnight = today's Regular Table rhythm; 2 = every host runs a table every week. Hosts here replace the Weekly sheet's host build-up: this is a steady week, not week 8 of a ramp.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</si>
</sst>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#,##0.0;\(#,##0.0\);\-"/>
    <numFmt numFmtId="167" formatCode="0.0%;\(0.0%\);\-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00020"/>
        <bgColor rgb="FF800000"/>
      </patternFill>
    </fill>
    <fill>
      <patternFill patternType="solid">
        <fgColor rgb="FFE8F2EC"/>
        <bgColor rgb="FFD4ED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F2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8</v>
      </c>
      <c r="C6" s="5" t="s">
        <v>8</v>
      </c>
      <c r="D6" s="3" t="s">
        <v>9</v>
      </c>
    </row>
    <row r="7" customFormat="false" ht="15" hidden="false" customHeight="false" outlineLevel="0" collapsed="false">
      <c r="A7" s="5" t="s">
        <v>10</v>
      </c>
      <c r="B7" s="7" t="n">
        <v>12</v>
      </c>
      <c r="C7" s="5" t="s">
        <v>11</v>
      </c>
      <c r="D7" s="3" t="s">
        <v>12</v>
      </c>
    </row>
    <row r="8" customFormat="false" ht="15" hidden="false" customHeight="false" outlineLevel="0" collapsed="false">
      <c r="A8" s="5" t="s">
        <v>13</v>
      </c>
      <c r="B8" s="8" t="n">
        <v>1</v>
      </c>
      <c r="C8" s="5" t="s">
        <v>14</v>
      </c>
      <c r="D8" s="3" t="s">
        <v>15</v>
      </c>
    </row>
    <row r="9" customFormat="false" ht="15" hidden="false" customHeight="false" outlineLevel="0" collapsed="false">
      <c r="A9" s="5" t="s">
        <v>16</v>
      </c>
      <c r="B9" s="9" t="n">
        <v>0.05</v>
      </c>
      <c r="C9" s="5" t="s">
        <v>17</v>
      </c>
      <c r="D9" s="3" t="s">
        <v>15</v>
      </c>
    </row>
    <row r="10" customFormat="false" ht="15" hidden="false" customHeight="false" outlineLevel="0" collapsed="false">
      <c r="A10" s="5" t="s">
        <v>18</v>
      </c>
      <c r="B10" s="8" t="n">
        <v>0.5</v>
      </c>
      <c r="C10" s="5" t="s">
        <v>19</v>
      </c>
      <c r="D10" s="3" t="s">
        <v>20</v>
      </c>
    </row>
    <row r="11" customFormat="false" ht="15" hidden="false" customHeight="false" outlineLevel="0" collapsed="false">
      <c r="A11" s="5" t="s">
        <v>21</v>
      </c>
      <c r="B11" s="7" t="n">
        <v>6</v>
      </c>
      <c r="C11" s="5" t="s">
        <v>22</v>
      </c>
      <c r="D11" s="3" t="s">
        <v>23</v>
      </c>
    </row>
    <row r="12" customFormat="false" ht="15" hidden="false" customHeight="false" outlineLevel="0" collapsed="false">
      <c r="A12" s="5" t="s">
        <v>24</v>
      </c>
      <c r="B12" s="8" t="n">
        <v>5</v>
      </c>
      <c r="C12" s="5" t="s">
        <v>25</v>
      </c>
      <c r="D12" s="3" t="s">
        <v>26</v>
      </c>
    </row>
    <row r="13" customFormat="false" ht="15" hidden="false" customHeight="false" outlineLevel="0" collapsed="false">
      <c r="A13" s="5" t="s">
        <v>27</v>
      </c>
      <c r="B13" s="6" t="n">
        <v>80</v>
      </c>
      <c r="C13" s="5" t="s">
        <v>28</v>
      </c>
      <c r="D13" s="3" t="s">
        <v>29</v>
      </c>
    </row>
    <row r="14" customFormat="false" ht="15" hidden="false" customHeight="false" outlineLevel="0" collapsed="false">
      <c r="A14" s="5" t="s">
        <v>30</v>
      </c>
      <c r="B14" s="7" t="n">
        <v>40</v>
      </c>
      <c r="C14" s="5" t="s">
        <v>28</v>
      </c>
      <c r="D14" s="3" t="s">
        <v>15</v>
      </c>
    </row>
    <row r="15" customFormat="false" ht="15" hidden="false" customHeight="false" outlineLevel="0" collapsed="false">
      <c r="A15" s="5" t="s">
        <v>31</v>
      </c>
      <c r="B15" s="9" t="n">
        <v>0.1</v>
      </c>
      <c r="C15" s="5" t="s">
        <v>17</v>
      </c>
      <c r="D15" s="3" t="s">
        <v>15</v>
      </c>
    </row>
    <row r="16" customFormat="false" ht="15" hidden="false" customHeight="false" outlineLevel="0" collapsed="false">
      <c r="A16" s="5" t="s">
        <v>32</v>
      </c>
      <c r="B16" s="10" t="n">
        <v>0.4</v>
      </c>
      <c r="C16" s="5" t="s">
        <v>17</v>
      </c>
      <c r="D16" s="3" t="s">
        <v>33</v>
      </c>
    </row>
    <row r="17" customFormat="false" ht="15" hidden="false" customHeight="false" outlineLevel="0" collapsed="false">
      <c r="A17" s="5" t="s">
        <v>34</v>
      </c>
      <c r="B17" s="11" t="n">
        <v>0.25</v>
      </c>
      <c r="C17" s="5" t="s">
        <v>35</v>
      </c>
      <c r="D17" s="3" t="s">
        <v>15</v>
      </c>
    </row>
    <row r="18" customFormat="false" ht="15" hidden="false" customHeight="false" outlineLevel="0" collapsed="false">
      <c r="A18" s="5" t="s">
        <v>36</v>
      </c>
      <c r="B18" s="9" t="n">
        <v>0.08</v>
      </c>
      <c r="C18" s="5" t="s">
        <v>17</v>
      </c>
      <c r="D18" s="3" t="s">
        <v>15</v>
      </c>
    </row>
    <row r="19" customFormat="false" ht="15" hidden="false" customHeight="false" outlineLevel="0" collapsed="false">
      <c r="A19" s="5" t="s">
        <v>37</v>
      </c>
      <c r="B19" s="9" t="n">
        <v>0.7</v>
      </c>
      <c r="C19" s="5" t="s">
        <v>17</v>
      </c>
      <c r="D19" s="3" t="s">
        <v>38</v>
      </c>
    </row>
    <row r="20" customFormat="false" ht="15" hidden="false" customHeight="false" outlineLevel="0" collapsed="false">
      <c r="A20" s="5" t="s">
        <v>39</v>
      </c>
      <c r="B20" s="10" t="n">
        <v>0.55</v>
      </c>
      <c r="C20" s="5" t="s">
        <v>17</v>
      </c>
      <c r="D20" s="3" t="s">
        <v>40</v>
      </c>
    </row>
    <row r="21" customFormat="false" ht="15" hidden="false" customHeight="false" outlineLevel="0" collapsed="false">
      <c r="A21" s="5" t="s">
        <v>41</v>
      </c>
      <c r="B21" s="9" t="n">
        <v>0.5</v>
      </c>
      <c r="C21" s="5" t="s">
        <v>17</v>
      </c>
      <c r="D21" s="3" t="s">
        <v>42</v>
      </c>
    </row>
    <row r="23" customFormat="false" ht="15" hidden="false" customHeight="false" outlineLevel="0" collapsed="false">
      <c r="A23" s="12" t="s">
        <v>43</v>
      </c>
    </row>
    <row r="24" customFormat="false" ht="15" hidden="false" customHeight="false" outlineLevel="0" collapsed="false">
      <c r="A24" s="5" t="s">
        <v>44</v>
      </c>
    </row>
    <row r="25" customFormat="false" ht="15" hidden="false" customHeight="false" outlineLevel="0" collapsed="false">
      <c r="A25" s="5" t="s">
        <v>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5" min="2" style="0" width="1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7.35" hidden="false" customHeight="false" outlineLevel="0" collapsed="false">
      <c r="A2" s="2" t="s">
        <v>46</v>
      </c>
    </row>
    <row r="4" customFormat="false" ht="45.75" hidden="false" customHeight="true" outlineLevel="0" collapsed="false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</row>
    <row r="5" customFormat="false" ht="15" hidden="false" customHeight="false" outlineLevel="0" collapsed="false">
      <c r="A5" s="13" t="n">
        <v>1</v>
      </c>
      <c r="B5" s="14" t="n">
        <f aca="false">Assumptions!$B$7</f>
        <v>12</v>
      </c>
      <c r="C5" s="14" t="n">
        <f aca="false">B5*Assumptions!$B$10+Assumptions!$B$11</f>
        <v>12</v>
      </c>
      <c r="D5" s="14" t="n">
        <f aca="false">C5*Assumptions!$B$12</f>
        <v>60</v>
      </c>
      <c r="E5" s="14" t="n">
        <f aca="false">Assumptions!$B$14*(1+Assumptions!$B$15)^(A5-1)</f>
        <v>40</v>
      </c>
      <c r="F5" s="14" t="n">
        <f aca="false">Assumptions!$B$13</f>
        <v>80</v>
      </c>
      <c r="G5" s="14" t="n">
        <f aca="false">E5*Assumptions!$B$16</f>
        <v>16</v>
      </c>
      <c r="H5" s="14" t="n">
        <f aca="false">F5*Assumptions!$B$17</f>
        <v>20</v>
      </c>
      <c r="I5" s="14" t="n">
        <f aca="false">G5+H5</f>
        <v>36</v>
      </c>
      <c r="J5" s="14" t="n">
        <f aca="false">MIN(I5,D5)</f>
        <v>36</v>
      </c>
      <c r="K5" s="15" t="n">
        <f aca="false">IF(D5=0,0,J5/D5)</f>
        <v>0.6</v>
      </c>
      <c r="L5" s="14" t="n">
        <f aca="false">J5*Assumptions!$B$19</f>
        <v>25.2</v>
      </c>
      <c r="M5" s="14" t="n">
        <f aca="false">IF(I5=0,0,L5*H5/I5)</f>
        <v>14</v>
      </c>
      <c r="N5" s="14" t="n">
        <f aca="false">M5*Assumptions!$B$20</f>
        <v>7.7</v>
      </c>
      <c r="O5" s="14" t="n">
        <f aca="false">L5*Assumptions!$B$21</f>
        <v>12.6</v>
      </c>
    </row>
    <row r="6" customFormat="false" ht="15" hidden="false" customHeight="false" outlineLevel="0" collapsed="false">
      <c r="A6" s="13" t="n">
        <v>2</v>
      </c>
      <c r="B6" s="14" t="n">
        <f aca="false">B5*(1-Assumptions!$B$9)+Assumptions!$B$8</f>
        <v>12.4</v>
      </c>
      <c r="C6" s="14" t="n">
        <f aca="false">B6*Assumptions!$B$10+Assumptions!$B$11</f>
        <v>12.2</v>
      </c>
      <c r="D6" s="14" t="n">
        <f aca="false">C6*Assumptions!$B$12</f>
        <v>61</v>
      </c>
      <c r="E6" s="14" t="n">
        <f aca="false">Assumptions!$B$14*(1+Assumptions!$B$15)^(A6-1)</f>
        <v>44</v>
      </c>
      <c r="F6" s="14" t="n">
        <f aca="false">F5*(1-Assumptions!$B$18)+E5</f>
        <v>113.6</v>
      </c>
      <c r="G6" s="14" t="n">
        <f aca="false">E6*Assumptions!$B$16</f>
        <v>17.6</v>
      </c>
      <c r="H6" s="14" t="n">
        <f aca="false">F6*Assumptions!$B$17</f>
        <v>28.4</v>
      </c>
      <c r="I6" s="14" t="n">
        <f aca="false">G6+H6</f>
        <v>46</v>
      </c>
      <c r="J6" s="14" t="n">
        <f aca="false">MIN(I6,D6)</f>
        <v>46</v>
      </c>
      <c r="K6" s="15" t="n">
        <f aca="false">IF(D6=0,0,J6/D6)</f>
        <v>0.754098360655738</v>
      </c>
      <c r="L6" s="14" t="n">
        <f aca="false">J6*Assumptions!$B$19</f>
        <v>32.2</v>
      </c>
      <c r="M6" s="14" t="n">
        <f aca="false">IF(I6=0,0,L6*H6/I6)</f>
        <v>19.88</v>
      </c>
      <c r="N6" s="14" t="n">
        <f aca="false">M6*Assumptions!$B$20</f>
        <v>10.934</v>
      </c>
      <c r="O6" s="14" t="n">
        <f aca="false">L6*Assumptions!$B$21</f>
        <v>16.1</v>
      </c>
    </row>
    <row r="7" customFormat="false" ht="15" hidden="false" customHeight="false" outlineLevel="0" collapsed="false">
      <c r="A7" s="13" t="n">
        <v>3</v>
      </c>
      <c r="B7" s="14" t="n">
        <f aca="false">B6*(1-Assumptions!$B$9)+Assumptions!$B$8</f>
        <v>12.78</v>
      </c>
      <c r="C7" s="14" t="n">
        <f aca="false">B7*Assumptions!$B$10+Assumptions!$B$11</f>
        <v>12.39</v>
      </c>
      <c r="D7" s="14" t="n">
        <f aca="false">C7*Assumptions!$B$12</f>
        <v>61.95</v>
      </c>
      <c r="E7" s="14" t="n">
        <f aca="false">Assumptions!$B$14*(1+Assumptions!$B$15)^(A7-1)</f>
        <v>48.4</v>
      </c>
      <c r="F7" s="14" t="n">
        <f aca="false">F6*(1-Assumptions!$B$18)+E6</f>
        <v>148.512</v>
      </c>
      <c r="G7" s="14" t="n">
        <f aca="false">E7*Assumptions!$B$16</f>
        <v>19.36</v>
      </c>
      <c r="H7" s="14" t="n">
        <f aca="false">F7*Assumptions!$B$17</f>
        <v>37.128</v>
      </c>
      <c r="I7" s="14" t="n">
        <f aca="false">G7+H7</f>
        <v>56.488</v>
      </c>
      <c r="J7" s="14" t="n">
        <f aca="false">MIN(I7,D7)</f>
        <v>56.488</v>
      </c>
      <c r="K7" s="15" t="n">
        <f aca="false">IF(D7=0,0,J7/D7)</f>
        <v>0.91183212267958</v>
      </c>
      <c r="L7" s="14" t="n">
        <f aca="false">J7*Assumptions!$B$19</f>
        <v>39.5416</v>
      </c>
      <c r="M7" s="14" t="n">
        <f aca="false">IF(I7=0,0,L7*H7/I7)</f>
        <v>25.9896</v>
      </c>
      <c r="N7" s="14" t="n">
        <f aca="false">M7*Assumptions!$B$20</f>
        <v>14.29428</v>
      </c>
      <c r="O7" s="14" t="n">
        <f aca="false">L7*Assumptions!$B$21</f>
        <v>19.7708</v>
      </c>
    </row>
    <row r="8" customFormat="false" ht="15" hidden="false" customHeight="false" outlineLevel="0" collapsed="false">
      <c r="A8" s="13" t="n">
        <v>4</v>
      </c>
      <c r="B8" s="14" t="n">
        <f aca="false">B7*(1-Assumptions!$B$9)+Assumptions!$B$8</f>
        <v>13.141</v>
      </c>
      <c r="C8" s="14" t="n">
        <f aca="false">B8*Assumptions!$B$10+Assumptions!$B$11</f>
        <v>12.5705</v>
      </c>
      <c r="D8" s="14" t="n">
        <f aca="false">C8*Assumptions!$B$12</f>
        <v>62.8525</v>
      </c>
      <c r="E8" s="14" t="n">
        <f aca="false">Assumptions!$B$14*(1+Assumptions!$B$15)^(A8-1)</f>
        <v>53.24</v>
      </c>
      <c r="F8" s="14" t="n">
        <f aca="false">F7*(1-Assumptions!$B$18)+E7</f>
        <v>185.03104</v>
      </c>
      <c r="G8" s="14" t="n">
        <f aca="false">E8*Assumptions!$B$16</f>
        <v>21.296</v>
      </c>
      <c r="H8" s="14" t="n">
        <f aca="false">F8*Assumptions!$B$17</f>
        <v>46.25776</v>
      </c>
      <c r="I8" s="14" t="n">
        <f aca="false">G8+H8</f>
        <v>67.55376</v>
      </c>
      <c r="J8" s="14" t="n">
        <f aca="false">MIN(I8,D8)</f>
        <v>62.8525</v>
      </c>
      <c r="K8" s="15" t="n">
        <f aca="false">IF(D8=0,0,J8/D8)</f>
        <v>1</v>
      </c>
      <c r="L8" s="14" t="n">
        <f aca="false">J8*Assumptions!$B$19</f>
        <v>43.99675</v>
      </c>
      <c r="M8" s="14" t="n">
        <f aca="false">IF(I8=0,0,L8*H8/I8)</f>
        <v>30.1269848233466</v>
      </c>
      <c r="N8" s="14" t="n">
        <f aca="false">M8*Assumptions!$B$20</f>
        <v>16.5698416528406</v>
      </c>
      <c r="O8" s="14" t="n">
        <f aca="false">L8*Assumptions!$B$21</f>
        <v>21.998375</v>
      </c>
    </row>
    <row r="9" customFormat="false" ht="15" hidden="false" customHeight="false" outlineLevel="0" collapsed="false">
      <c r="A9" s="13" t="n">
        <v>5</v>
      </c>
      <c r="B9" s="14" t="n">
        <f aca="false">B8*(1-Assumptions!$B$9)+Assumptions!$B$8</f>
        <v>13.48395</v>
      </c>
      <c r="C9" s="14" t="n">
        <f aca="false">B9*Assumptions!$B$10+Assumptions!$B$11</f>
        <v>12.741975</v>
      </c>
      <c r="D9" s="14" t="n">
        <f aca="false">C9*Assumptions!$B$12</f>
        <v>63.709875</v>
      </c>
      <c r="E9" s="14" t="n">
        <f aca="false">Assumptions!$B$14*(1+Assumptions!$B$15)^(A9-1)</f>
        <v>58.564</v>
      </c>
      <c r="F9" s="14" t="n">
        <f aca="false">F8*(1-Assumptions!$B$18)+E8</f>
        <v>223.4685568</v>
      </c>
      <c r="G9" s="14" t="n">
        <f aca="false">E9*Assumptions!$B$16</f>
        <v>23.4256</v>
      </c>
      <c r="H9" s="14" t="n">
        <f aca="false">F9*Assumptions!$B$17</f>
        <v>55.8671392</v>
      </c>
      <c r="I9" s="14" t="n">
        <f aca="false">G9+H9</f>
        <v>79.2927392</v>
      </c>
      <c r="J9" s="14" t="n">
        <f aca="false">MIN(I9,D9)</f>
        <v>63.709875</v>
      </c>
      <c r="K9" s="15" t="n">
        <f aca="false">IF(D9=0,0,J9/D9)</f>
        <v>1</v>
      </c>
      <c r="L9" s="14" t="n">
        <f aca="false">J9*Assumptions!$B$19</f>
        <v>44.5969125</v>
      </c>
      <c r="M9" s="14" t="n">
        <f aca="false">IF(I9=0,0,L9*H9/I9)</f>
        <v>31.4215644920956</v>
      </c>
      <c r="N9" s="14" t="n">
        <f aca="false">M9*Assumptions!$B$20</f>
        <v>17.2818604706526</v>
      </c>
      <c r="O9" s="14" t="n">
        <f aca="false">L9*Assumptions!$B$21</f>
        <v>22.29845625</v>
      </c>
    </row>
    <row r="10" customFormat="false" ht="15" hidden="false" customHeight="false" outlineLevel="0" collapsed="false">
      <c r="A10" s="13" t="n">
        <v>6</v>
      </c>
      <c r="B10" s="14" t="n">
        <f aca="false">B9*(1-Assumptions!$B$9)+Assumptions!$B$8</f>
        <v>13.8097525</v>
      </c>
      <c r="C10" s="14" t="n">
        <f aca="false">B10*Assumptions!$B$10+Assumptions!$B$11</f>
        <v>12.90487625</v>
      </c>
      <c r="D10" s="14" t="n">
        <f aca="false">C10*Assumptions!$B$12</f>
        <v>64.52438125</v>
      </c>
      <c r="E10" s="14" t="n">
        <f aca="false">Assumptions!$B$14*(1+Assumptions!$B$15)^(A10-1)</f>
        <v>64.4204</v>
      </c>
      <c r="F10" s="14" t="n">
        <f aca="false">F9*(1-Assumptions!$B$18)+E9</f>
        <v>264.155072256</v>
      </c>
      <c r="G10" s="14" t="n">
        <f aca="false">E10*Assumptions!$B$16</f>
        <v>25.76816</v>
      </c>
      <c r="H10" s="14" t="n">
        <f aca="false">F10*Assumptions!$B$17</f>
        <v>66.038768064</v>
      </c>
      <c r="I10" s="14" t="n">
        <f aca="false">G10+H10</f>
        <v>91.806928064</v>
      </c>
      <c r="J10" s="14" t="n">
        <f aca="false">MIN(I10,D10)</f>
        <v>64.52438125</v>
      </c>
      <c r="K10" s="15" t="n">
        <f aca="false">IF(D10=0,0,J10/D10)</f>
        <v>1</v>
      </c>
      <c r="L10" s="14" t="n">
        <f aca="false">J10*Assumptions!$B$19</f>
        <v>45.167066875</v>
      </c>
      <c r="M10" s="14" t="n">
        <f aca="false">IF(I10=0,0,L10*H10/I10)</f>
        <v>32.4896771560635</v>
      </c>
      <c r="N10" s="14" t="n">
        <f aca="false">M10*Assumptions!$B$20</f>
        <v>17.8693224358349</v>
      </c>
      <c r="O10" s="14" t="n">
        <f aca="false">L10*Assumptions!$B$21</f>
        <v>22.5835334375</v>
      </c>
    </row>
    <row r="11" customFormat="false" ht="15" hidden="false" customHeight="false" outlineLevel="0" collapsed="false">
      <c r="A11" s="13" t="n">
        <v>7</v>
      </c>
      <c r="B11" s="14" t="n">
        <f aca="false">B10*(1-Assumptions!$B$9)+Assumptions!$B$8</f>
        <v>14.119264875</v>
      </c>
      <c r="C11" s="14" t="n">
        <f aca="false">B11*Assumptions!$B$10+Assumptions!$B$11</f>
        <v>13.0596324375</v>
      </c>
      <c r="D11" s="14" t="n">
        <f aca="false">C11*Assumptions!$B$12</f>
        <v>65.2981621875</v>
      </c>
      <c r="E11" s="14" t="n">
        <f aca="false">Assumptions!$B$14*(1+Assumptions!$B$15)^(A11-1)</f>
        <v>70.86244</v>
      </c>
      <c r="F11" s="14" t="n">
        <f aca="false">F10*(1-Assumptions!$B$18)+E10</f>
        <v>307.44306647552</v>
      </c>
      <c r="G11" s="14" t="n">
        <f aca="false">E11*Assumptions!$B$16</f>
        <v>28.344976</v>
      </c>
      <c r="H11" s="14" t="n">
        <f aca="false">F11*Assumptions!$B$17</f>
        <v>76.86076661888</v>
      </c>
      <c r="I11" s="14" t="n">
        <f aca="false">G11+H11</f>
        <v>105.20574261888</v>
      </c>
      <c r="J11" s="14" t="n">
        <f aca="false">MIN(I11,D11)</f>
        <v>65.2981621875</v>
      </c>
      <c r="K11" s="15" t="n">
        <f aca="false">IF(D11=0,0,J11/D11)</f>
        <v>1</v>
      </c>
      <c r="L11" s="14" t="n">
        <f aca="false">J11*Assumptions!$B$19</f>
        <v>45.70871353125</v>
      </c>
      <c r="M11" s="14" t="n">
        <f aca="false">IF(I11=0,0,L11*H11/I11)</f>
        <v>33.3936786692495</v>
      </c>
      <c r="N11" s="14" t="n">
        <f aca="false">M11*Assumptions!$B$20</f>
        <v>18.3665232680872</v>
      </c>
      <c r="O11" s="14" t="n">
        <f aca="false">L11*Assumptions!$B$21</f>
        <v>22.854356765625</v>
      </c>
    </row>
    <row r="12" customFormat="false" ht="15" hidden="false" customHeight="false" outlineLevel="0" collapsed="false">
      <c r="A12" s="13" t="n">
        <v>8</v>
      </c>
      <c r="B12" s="14" t="n">
        <f aca="false">B11*(1-Assumptions!$B$9)+Assumptions!$B$8</f>
        <v>14.41330163125</v>
      </c>
      <c r="C12" s="14" t="n">
        <f aca="false">B12*Assumptions!$B$10+Assumptions!$B$11</f>
        <v>13.206650815625</v>
      </c>
      <c r="D12" s="14" t="n">
        <f aca="false">C12*Assumptions!$B$12</f>
        <v>66.033254078125</v>
      </c>
      <c r="E12" s="14" t="n">
        <f aca="false">Assumptions!$B$14*(1+Assumptions!$B$15)^(A12-1)</f>
        <v>77.948684</v>
      </c>
      <c r="F12" s="14" t="n">
        <f aca="false">F11*(1-Assumptions!$B$18)+E11</f>
        <v>353.710061157479</v>
      </c>
      <c r="G12" s="14" t="n">
        <f aca="false">E12*Assumptions!$B$16</f>
        <v>31.1794736</v>
      </c>
      <c r="H12" s="14" t="n">
        <f aca="false">F12*Assumptions!$B$17</f>
        <v>88.4275152893696</v>
      </c>
      <c r="I12" s="14" t="n">
        <f aca="false">G12+H12</f>
        <v>119.60698888937</v>
      </c>
      <c r="J12" s="14" t="n">
        <f aca="false">MIN(I12,D12)</f>
        <v>66.033254078125</v>
      </c>
      <c r="K12" s="15" t="n">
        <f aca="false">IF(D12=0,0,J12/D12)</f>
        <v>1</v>
      </c>
      <c r="L12" s="14" t="n">
        <f aca="false">J12*Assumptions!$B$19</f>
        <v>46.2232778546875</v>
      </c>
      <c r="M12" s="14" t="n">
        <f aca="false">IF(I12=0,0,L12*H12/I12)</f>
        <v>34.1736686724954</v>
      </c>
      <c r="N12" s="14" t="n">
        <f aca="false">M12*Assumptions!$B$20</f>
        <v>18.7955177698725</v>
      </c>
      <c r="O12" s="14" t="n">
        <f aca="false">L12*Assumptions!$B$21</f>
        <v>23.1116389273437</v>
      </c>
    </row>
    <row r="13" customFormat="false" ht="15" hidden="false" customHeight="false" outlineLevel="0" collapsed="false">
      <c r="A13" s="12" t="s">
        <v>62</v>
      </c>
      <c r="C13" s="16" t="n">
        <f aca="false">SUM(C5:C12)</f>
        <v>101.073634503125</v>
      </c>
      <c r="D13" s="16" t="n">
        <f aca="false">SUM(D5:D12)</f>
        <v>505.368172515625</v>
      </c>
      <c r="E13" s="16" t="n">
        <f aca="false">SUM(E5:E12)</f>
        <v>457.435524</v>
      </c>
      <c r="J13" s="16" t="n">
        <f aca="false">SUM(J5:J12)</f>
        <v>460.906172515625</v>
      </c>
      <c r="K13" s="17" t="n">
        <f aca="false">IF(D13=0,0,J13/D13)</f>
        <v>0.912020577436294</v>
      </c>
      <c r="L13" s="16" t="n">
        <f aca="false">SUM(L5:L12)</f>
        <v>322.634320760937</v>
      </c>
      <c r="N13" s="16" t="n">
        <f aca="false">N12</f>
        <v>18.7955177698725</v>
      </c>
    </row>
    <row r="15" customFormat="false" ht="15" hidden="false" customHeight="false" outlineLevel="0" collapsed="false">
      <c r="A15" s="12" t="s">
        <v>63</v>
      </c>
    </row>
    <row r="16" customFormat="false" ht="15" hidden="false" customHeight="false" outlineLevel="0" collapsed="false">
      <c r="A16" s="5" t="s">
        <v>64</v>
      </c>
    </row>
    <row r="17" customFormat="false" ht="15" hidden="false" customHeight="false" outlineLevel="0" collapsed="false">
      <c r="A17" s="5" t="s">
        <v>65</v>
      </c>
    </row>
    <row r="18" customFormat="false" ht="15" hidden="false" customHeight="false" outlineLevel="0" collapsed="false">
      <c r="A18" s="5" t="s">
        <v>66</v>
      </c>
    </row>
    <row r="19" customFormat="false" ht="15" hidden="false" customHeight="false" outlineLevel="0" collapsed="false">
      <c r="A19" s="5" t="s">
        <v>67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52"/>
    <col collapsed="false" customWidth="true" hidden="false" outlineLevel="0" max="5" min="5" style="0" width="4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7.35" hidden="false" customHeight="false" outlineLevel="0" collapsed="false">
      <c r="A2" s="2" t="s">
        <v>68</v>
      </c>
    </row>
    <row r="4" customFormat="false" ht="30" hidden="false" customHeight="true" outlineLevel="0" collapsed="false">
      <c r="A4" s="4" t="s">
        <v>69</v>
      </c>
      <c r="B4" s="4" t="s">
        <v>70</v>
      </c>
      <c r="C4" s="4" t="s">
        <v>71</v>
      </c>
      <c r="D4" s="4" t="s">
        <v>72</v>
      </c>
      <c r="E4" s="4" t="s">
        <v>73</v>
      </c>
    </row>
    <row r="5" customFormat="false" ht="15" hidden="false" customHeight="false" outlineLevel="0" collapsed="false">
      <c r="A5" s="13" t="s">
        <v>51</v>
      </c>
      <c r="B5" s="18" t="n">
        <f aca="false">Weekly!E13</f>
        <v>457.435524</v>
      </c>
      <c r="C5" s="19"/>
      <c r="D5" s="13" t="s">
        <v>74</v>
      </c>
      <c r="E5" s="20" t="s">
        <v>75</v>
      </c>
    </row>
    <row r="6" customFormat="false" ht="15" hidden="false" customHeight="false" outlineLevel="0" collapsed="false">
      <c r="A6" s="13" t="s">
        <v>76</v>
      </c>
      <c r="B6" s="18" t="n">
        <f aca="false">SUM(Weekly!G5:G12)</f>
        <v>182.9742096</v>
      </c>
      <c r="C6" s="15" t="n">
        <f aca="false">IF(B5=0,0,B6/B5)</f>
        <v>0.4</v>
      </c>
      <c r="D6" s="13" t="s">
        <v>77</v>
      </c>
      <c r="E6" s="20" t="s">
        <v>78</v>
      </c>
    </row>
    <row r="7" customFormat="false" ht="15" hidden="false" customHeight="false" outlineLevel="0" collapsed="false">
      <c r="A7" s="13" t="s">
        <v>79</v>
      </c>
      <c r="B7" s="18" t="n">
        <f aca="false">Weekly!J13</f>
        <v>460.906172515625</v>
      </c>
      <c r="C7" s="19"/>
      <c r="D7" s="13" t="s">
        <v>80</v>
      </c>
      <c r="E7" s="20" t="s">
        <v>81</v>
      </c>
    </row>
    <row r="8" customFormat="false" ht="15" hidden="false" customHeight="false" outlineLevel="0" collapsed="false">
      <c r="A8" s="13" t="s">
        <v>82</v>
      </c>
      <c r="B8" s="18" t="n">
        <f aca="false">Weekly!D13</f>
        <v>505.368172515625</v>
      </c>
      <c r="C8" s="19"/>
      <c r="D8" s="13" t="s">
        <v>83</v>
      </c>
      <c r="E8" s="20" t="s">
        <v>84</v>
      </c>
    </row>
    <row r="9" customFormat="false" ht="15" hidden="false" customHeight="false" outlineLevel="0" collapsed="false">
      <c r="A9" s="13" t="s">
        <v>57</v>
      </c>
      <c r="B9" s="21" t="n">
        <f aca="false">IF(B8=0,0,B7/B8)</f>
        <v>0.912020577436294</v>
      </c>
      <c r="C9" s="19"/>
      <c r="D9" s="13" t="s">
        <v>85</v>
      </c>
      <c r="E9" s="20" t="s">
        <v>86</v>
      </c>
    </row>
    <row r="10" customFormat="false" ht="15" hidden="false" customHeight="false" outlineLevel="0" collapsed="false">
      <c r="A10" s="13" t="s">
        <v>58</v>
      </c>
      <c r="B10" s="18" t="n">
        <f aca="false">Weekly!L13</f>
        <v>322.634320760937</v>
      </c>
      <c r="C10" s="15" t="n">
        <f aca="false">IF(B7=0,0,B10/B7)</f>
        <v>0.7</v>
      </c>
      <c r="D10" s="13" t="s">
        <v>87</v>
      </c>
      <c r="E10" s="20" t="s">
        <v>88</v>
      </c>
    </row>
    <row r="11" customFormat="false" ht="15" hidden="false" customHeight="false" outlineLevel="0" collapsed="false">
      <c r="A11" s="13" t="s">
        <v>61</v>
      </c>
      <c r="B11" s="18" t="n">
        <f aca="false">SUM(Weekly!O5:O12)</f>
        <v>161.317160380469</v>
      </c>
      <c r="C11" s="15" t="n">
        <f aca="false">IF(B10=0,0,B11/B10)</f>
        <v>0.5</v>
      </c>
      <c r="D11" s="13" t="s">
        <v>89</v>
      </c>
      <c r="E11" s="20" t="s">
        <v>90</v>
      </c>
    </row>
    <row r="12" customFormat="false" ht="15" hidden="false" customHeight="false" outlineLevel="0" collapsed="false">
      <c r="A12" s="13" t="s">
        <v>91</v>
      </c>
      <c r="B12" s="18" t="n">
        <f aca="false">Weekly!N12</f>
        <v>18.7955177698725</v>
      </c>
      <c r="C12" s="19"/>
      <c r="D12" s="13" t="s">
        <v>92</v>
      </c>
      <c r="E12" s="20" t="s">
        <v>93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2" t="s">
        <v>94</v>
      </c>
    </row>
    <row r="3" customFormat="false" ht="15" hidden="false" customHeight="false" outlineLevel="0" collapsed="false">
      <c r="A3" s="3" t="s">
        <v>95</v>
      </c>
    </row>
    <row r="5" customFormat="false" ht="30" hidden="false" customHeight="true" outlineLevel="0" collapsed="false">
      <c r="A5" s="4" t="s">
        <v>96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102</v>
      </c>
    </row>
    <row r="6" customFormat="false" ht="15" hidden="false" customHeight="false" outlineLevel="0" collapsed="false">
      <c r="A6" s="13" t="s">
        <v>103</v>
      </c>
      <c r="B6" s="6" t="n">
        <v>60</v>
      </c>
      <c r="C6" s="13" t="s">
        <v>104</v>
      </c>
      <c r="D6" s="18" t="n">
        <f aca="false">Funnel!B12</f>
        <v>18.7955177698725</v>
      </c>
      <c r="E6" s="7"/>
      <c r="F6" s="13" t="str">
        <f aca="false">IF(D6&gt;=B6,"yes","no")</f>
        <v>no</v>
      </c>
      <c r="G6" s="13" t="str">
        <f aca="false">IF(E6="","not measured",IF(E6&gt;=B6,"yes","no"))</f>
        <v>not measured</v>
      </c>
    </row>
    <row r="7" customFormat="false" ht="15" hidden="false" customHeight="false" outlineLevel="0" collapsed="false">
      <c r="A7" s="13" t="s">
        <v>105</v>
      </c>
      <c r="B7" s="6" t="n">
        <v>300</v>
      </c>
      <c r="C7" s="13" t="s">
        <v>104</v>
      </c>
      <c r="D7" s="18" t="n">
        <f aca="false">Assumptions!$B$13+Weekly!E13</f>
        <v>537.435524</v>
      </c>
      <c r="E7" s="7"/>
      <c r="F7" s="13" t="str">
        <f aca="false">IF(D7&gt;=B7,"yes","no")</f>
        <v>yes</v>
      </c>
      <c r="G7" s="13" t="str">
        <f aca="false">IF(E7="","not measured",IF(E7&gt;=B7,"yes","no"))</f>
        <v>not measured</v>
      </c>
    </row>
    <row r="8" customFormat="false" ht="15" hidden="false" customHeight="false" outlineLevel="0" collapsed="false">
      <c r="A8" s="13" t="s">
        <v>106</v>
      </c>
      <c r="B8" s="9" t="n">
        <v>0.4</v>
      </c>
      <c r="C8" s="13" t="s">
        <v>104</v>
      </c>
      <c r="D8" s="21" t="n">
        <f aca="false">Funnel!C6</f>
        <v>0.4</v>
      </c>
      <c r="E8" s="10"/>
      <c r="F8" s="13" t="str">
        <f aca="false">IF(D8&gt;=B8,"yes","no")</f>
        <v>yes</v>
      </c>
      <c r="G8" s="13" t="str">
        <f aca="false">IF(E8="","not measured",IF(E8&gt;=B8,"yes","no"))</f>
        <v>not measured</v>
      </c>
    </row>
    <row r="9" customFormat="false" ht="15" hidden="false" customHeight="false" outlineLevel="0" collapsed="false">
      <c r="A9" s="13" t="s">
        <v>37</v>
      </c>
      <c r="B9" s="9" t="n">
        <v>0.7</v>
      </c>
      <c r="C9" s="13" t="s">
        <v>104</v>
      </c>
      <c r="D9" s="21" t="n">
        <f aca="false">Funnel!C10</f>
        <v>0.7</v>
      </c>
      <c r="E9" s="10"/>
      <c r="F9" s="13" t="str">
        <f aca="false">IF(D9&gt;=B9,"yes","no")</f>
        <v>yes</v>
      </c>
      <c r="G9" s="13" t="str">
        <f aca="false">IF(E9="","not measured",IF(E9&gt;=B9,"yes","no"))</f>
        <v>not measured</v>
      </c>
    </row>
    <row r="10" customFormat="false" ht="15" hidden="false" customHeight="false" outlineLevel="0" collapsed="false">
      <c r="A10" s="13" t="s">
        <v>107</v>
      </c>
      <c r="B10" s="9" t="n">
        <v>0.6</v>
      </c>
      <c r="C10" s="13" t="s">
        <v>104</v>
      </c>
      <c r="D10" s="21" t="n">
        <f aca="false">Funnel!B9</f>
        <v>0.912020577436294</v>
      </c>
      <c r="E10" s="10"/>
      <c r="F10" s="13" t="str">
        <f aca="false">IF(D10&gt;=B10,"yes","no")</f>
        <v>yes</v>
      </c>
      <c r="G10" s="13" t="str">
        <f aca="false">IF(E10="","not measured",IF(E10&gt;=B10,"yes","no"))</f>
        <v>not measured</v>
      </c>
    </row>
    <row r="11" customFormat="false" ht="15" hidden="false" customHeight="false" outlineLevel="0" collapsed="false">
      <c r="A11" s="13" t="s">
        <v>108</v>
      </c>
      <c r="B11" s="9" t="n">
        <v>0.5</v>
      </c>
      <c r="C11" s="13" t="s">
        <v>104</v>
      </c>
      <c r="D11" s="21" t="n">
        <f aca="false">Funnel!C11</f>
        <v>0.5</v>
      </c>
      <c r="E11" s="10"/>
      <c r="F11" s="13" t="str">
        <f aca="false">IF(D11&gt;=B11,"yes","no")</f>
        <v>yes</v>
      </c>
      <c r="G11" s="13" t="str">
        <f aca="false">IF(E11="","not measured",IF(E11&gt;=B11,"yes","no"))</f>
        <v>not measured</v>
      </c>
    </row>
    <row r="13" customFormat="false" ht="15" hidden="false" customHeight="false" outlineLevel="0" collapsed="false">
      <c r="A13" s="5" t="s">
        <v>109</v>
      </c>
    </row>
    <row r="14" customFormat="false" ht="15" hidden="false" customHeight="false" outlineLevel="0" collapsed="false">
      <c r="A14" s="5" t="s">
        <v>110</v>
      </c>
    </row>
    <row r="16" customFormat="false" ht="15" hidden="false" customHeight="false" outlineLevel="0" collapsed="false">
      <c r="A16" s="12" t="s">
        <v>111</v>
      </c>
    </row>
    <row r="17" customFormat="false" ht="15" hidden="false" customHeight="false" outlineLevel="0" collapsed="false">
      <c r="A17" s="5" t="s">
        <v>112</v>
      </c>
      <c r="B17" s="15" t="n">
        <f aca="false">IF(Weekly!I12=0,0,Weekly!H12/Weekly!I12)</f>
        <v>0.739317293332755</v>
      </c>
    </row>
    <row r="18" customFormat="false" ht="15" hidden="false" customHeight="false" outlineLevel="0" collapsed="false">
      <c r="A18" s="5" t="s">
        <v>113</v>
      </c>
      <c r="B18" s="14" t="n">
        <f aca="false">IF(B17*Assumptions!$B$19*Assumptions!$B$20=0,0,B6/(B17*Assumptions!$B$19*Assumptions!$B$20))</f>
        <v>210.794684839075</v>
      </c>
    </row>
    <row r="19" customFormat="false" ht="15" hidden="false" customHeight="false" outlineLevel="0" collapsed="false">
      <c r="A19" s="5" t="s">
        <v>114</v>
      </c>
      <c r="B19" s="14" t="n">
        <f aca="false">B18/Assumptions!$B$12</f>
        <v>42.158936967815</v>
      </c>
    </row>
    <row r="20" customFormat="false" ht="15" hidden="false" customHeight="false" outlineLevel="0" collapsed="false">
      <c r="A20" s="5" t="s">
        <v>115</v>
      </c>
      <c r="B20" s="14" t="n">
        <f aca="false">MAX(0,(B19-Assumptions!$B$11)/Assumptions!$B$10)</f>
        <v>72.3178739356299</v>
      </c>
    </row>
    <row r="21" customFormat="false" ht="15" hidden="false" customHeight="false" outlineLevel="0" collapsed="false">
      <c r="A21" s="5" t="s">
        <v>116</v>
      </c>
      <c r="B21" s="14" t="n">
        <f aca="false">Weekly!B12</f>
        <v>14.41330163125</v>
      </c>
    </row>
    <row r="22" customFormat="false" ht="15" hidden="false" customHeight="false" outlineLevel="0" collapsed="false">
      <c r="A22" s="3" t="s">
        <v>117</v>
      </c>
    </row>
  </sheetData>
  <mergeCells count="1">
    <mergeCell ref="A1:G1"/>
  </mergeCells>
  <conditionalFormatting sqref="F6:G11">
    <cfRule type="expression" priority="2" aboveAverage="0" equalAverage="0" bottom="0" percent="0" rank="0" text="" dxfId="0">
      <formula>F6="no"</formula>
    </cfRule>
    <cfRule type="expression" priority="3" aboveAverage="0" equalAverage="0" bottom="0" percent="0" rank="0" text="" dxfId="1">
      <formula>F6="yes"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7.35" hidden="false" customHeight="false" outlineLevel="0" collapsed="false">
      <c r="A2" s="2" t="s">
        <v>118</v>
      </c>
    </row>
    <row r="3" customFormat="false" ht="15" hidden="false" customHeight="false" outlineLevel="0" collapsed="false">
      <c r="A3" s="3" t="s">
        <v>119</v>
      </c>
    </row>
    <row r="5" customFormat="false" ht="15" hidden="false" customHeight="false" outlineLevel="0" collapsed="false">
      <c r="A5" s="5" t="s">
        <v>120</v>
      </c>
      <c r="B5" s="22" t="n">
        <v>0.9</v>
      </c>
      <c r="C5" s="3" t="s">
        <v>15</v>
      </c>
    </row>
    <row r="6" customFormat="false" ht="15" hidden="false" customHeight="false" outlineLevel="0" collapsed="false">
      <c r="A6" s="5" t="s">
        <v>121</v>
      </c>
      <c r="B6" s="23" t="n">
        <f aca="false">IF(Weekly!I12=0,0,Weekly!H12/Weekly!I12)</f>
        <v>0.739317293332755</v>
      </c>
    </row>
    <row r="7" customFormat="false" ht="15" hidden="false" customHeight="false" outlineLevel="0" collapsed="false">
      <c r="A7" s="5" t="s">
        <v>122</v>
      </c>
      <c r="B7" s="24" t="n">
        <f aca="false">'Targets vs live'!B6</f>
        <v>60</v>
      </c>
    </row>
    <row r="8" customFormat="false" ht="15" hidden="false" customHeight="false" outlineLevel="0" collapsed="false">
      <c r="A8" s="5" t="s">
        <v>123</v>
      </c>
      <c r="B8" s="24" t="n">
        <f aca="false">Assumptions!$B$11</f>
        <v>6</v>
      </c>
    </row>
    <row r="10" customFormat="false" ht="15" hidden="false" customHeight="false" outlineLevel="0" collapsed="false">
      <c r="A10" s="12" t="s">
        <v>124</v>
      </c>
      <c r="B10" s="25" t="n">
        <v>6</v>
      </c>
    </row>
    <row r="11" customFormat="false" ht="15" hidden="false" customHeight="false" outlineLevel="0" collapsed="false">
      <c r="A11" s="12" t="s">
        <v>125</v>
      </c>
      <c r="B11" s="26" t="n">
        <v>1</v>
      </c>
      <c r="C11" s="26" t="n">
        <v>2</v>
      </c>
    </row>
    <row r="12" customFormat="false" ht="15" hidden="false" customHeight="false" outlineLevel="0" collapsed="false">
      <c r="A12" s="25" t="n">
        <v>12</v>
      </c>
      <c r="B12" s="14" t="n">
        <f aca="false">($A12*B$11/2+$B$8)*$B$10*MIN(1,$B$5)*Assumptions!$B$19*$B$6*Assumptions!$B$20</f>
        <v>18.4444878340656</v>
      </c>
      <c r="C12" s="14" t="n">
        <f aca="false">($A12*C$11/2+$B$8)*$B$10*MIN(1,$B$5)*Assumptions!$B$19*$B$6*Assumptions!$B$20</f>
        <v>27.6667317510983</v>
      </c>
    </row>
    <row r="13" customFormat="false" ht="15" hidden="false" customHeight="false" outlineLevel="0" collapsed="false">
      <c r="A13" s="25" t="n">
        <v>16</v>
      </c>
      <c r="B13" s="14" t="n">
        <f aca="false">($A13*B$11/2+$B$8)*$B$10*MIN(1,$B$5)*Assumptions!$B$19*$B$6*Assumptions!$B$20</f>
        <v>21.5185691397432</v>
      </c>
      <c r="C13" s="14" t="n">
        <f aca="false">($A13*C$11/2+$B$8)*$B$10*MIN(1,$B$5)*Assumptions!$B$19*$B$6*Assumptions!$B$20</f>
        <v>33.8148943624535</v>
      </c>
    </row>
    <row r="14" customFormat="false" ht="15" hidden="false" customHeight="false" outlineLevel="0" collapsed="false">
      <c r="A14" s="25" t="n">
        <v>24</v>
      </c>
      <c r="B14" s="14" t="n">
        <f aca="false">($A14*B$11/2+$B$8)*$B$10*MIN(1,$B$5)*Assumptions!$B$19*$B$6*Assumptions!$B$20</f>
        <v>27.6667317510983</v>
      </c>
      <c r="C14" s="14" t="n">
        <f aca="false">($A14*C$11/2+$B$8)*$B$10*MIN(1,$B$5)*Assumptions!$B$19*$B$6*Assumptions!$B$20</f>
        <v>46.1112195851639</v>
      </c>
    </row>
    <row r="15" customFormat="false" ht="15" hidden="false" customHeight="false" outlineLevel="0" collapsed="false">
      <c r="A15" s="25" t="n">
        <v>32</v>
      </c>
      <c r="B15" s="14" t="n">
        <f aca="false">($A15*B$11/2+$B$8)*$B$10*MIN(1,$B$5)*Assumptions!$B$19*$B$6*Assumptions!$B$20</f>
        <v>33.8148943624535</v>
      </c>
      <c r="C15" s="14" t="n">
        <f aca="false">($A15*C$11/2+$B$8)*$B$10*MIN(1,$B$5)*Assumptions!$B$19*$B$6*Assumptions!$B$20</f>
        <v>58.4075448078743</v>
      </c>
    </row>
    <row r="16" customFormat="false" ht="15" hidden="false" customHeight="false" outlineLevel="0" collapsed="false">
      <c r="A16" s="25" t="n">
        <v>48</v>
      </c>
      <c r="B16" s="14" t="n">
        <f aca="false">($A16*B$11/2+$B$8)*$B$10*MIN(1,$B$5)*Assumptions!$B$19*$B$6*Assumptions!$B$20</f>
        <v>46.1112195851639</v>
      </c>
      <c r="C16" s="14" t="n">
        <f aca="false">($A16*C$11/2+$B$8)*$B$10*MIN(1,$B$5)*Assumptions!$B$19*$B$6*Assumptions!$B$20</f>
        <v>83.000195253295</v>
      </c>
    </row>
    <row r="17" customFormat="false" ht="15" hidden="false" customHeight="false" outlineLevel="0" collapsed="false">
      <c r="A17" s="25" t="n">
        <v>64</v>
      </c>
      <c r="B17" s="14" t="n">
        <f aca="false">($A17*B$11/2+$B$8)*$B$10*MIN(1,$B$5)*Assumptions!$B$19*$B$6*Assumptions!$B$20</f>
        <v>58.4075448078743</v>
      </c>
      <c r="C17" s="14" t="n">
        <f aca="false">($A17*C$11/2+$B$8)*$B$10*MIN(1,$B$5)*Assumptions!$B$19*$B$6*Assumptions!$B$20</f>
        <v>107.592845698716</v>
      </c>
    </row>
    <row r="18" customFormat="false" ht="15" hidden="false" customHeight="false" outlineLevel="0" collapsed="false">
      <c r="A18" s="25" t="n">
        <v>80</v>
      </c>
      <c r="B18" s="14" t="n">
        <f aca="false">($A18*B$11/2+$B$8)*$B$10*MIN(1,$B$5)*Assumptions!$B$19*$B$6*Assumptions!$B$20</f>
        <v>70.7038700305847</v>
      </c>
      <c r="C18" s="14" t="n">
        <f aca="false">($A18*C$11/2+$B$8)*$B$10*MIN(1,$B$5)*Assumptions!$B$19*$B$6*Assumptions!$B$20</f>
        <v>132.185496144137</v>
      </c>
    </row>
    <row r="20" customFormat="false" ht="15" hidden="false" customHeight="false" outlineLevel="0" collapsed="false">
      <c r="A20" s="12" t="s">
        <v>126</v>
      </c>
      <c r="B20" s="25" t="n">
        <v>8</v>
      </c>
    </row>
    <row r="21" customFormat="false" ht="15" hidden="false" customHeight="false" outlineLevel="0" collapsed="false">
      <c r="A21" s="12" t="s">
        <v>125</v>
      </c>
      <c r="B21" s="26" t="n">
        <v>1</v>
      </c>
      <c r="C21" s="26" t="n">
        <v>2</v>
      </c>
    </row>
    <row r="22" customFormat="false" ht="15" hidden="false" customHeight="false" outlineLevel="0" collapsed="false">
      <c r="A22" s="25" t="n">
        <v>12</v>
      </c>
      <c r="B22" s="14" t="n">
        <f aca="false">($A22*B$21/2+$B$8)*$B$20*MIN(1,$B$5)*Assumptions!$B$19*$B$6*Assumptions!$B$20</f>
        <v>24.5926504454207</v>
      </c>
      <c r="C22" s="14" t="n">
        <f aca="false">($A22*C$21/2+$B$8)*$B$20*MIN(1,$B$5)*Assumptions!$B$19*$B$6*Assumptions!$B$20</f>
        <v>36.8889756681311</v>
      </c>
    </row>
    <row r="23" customFormat="false" ht="15" hidden="false" customHeight="false" outlineLevel="0" collapsed="false">
      <c r="A23" s="25" t="n">
        <v>16</v>
      </c>
      <c r="B23" s="14" t="n">
        <f aca="false">($A23*B$21/2+$B$8)*$B$20*MIN(1,$B$5)*Assumptions!$B$19*$B$6*Assumptions!$B$20</f>
        <v>28.6914255196575</v>
      </c>
      <c r="C23" s="14" t="n">
        <f aca="false">($A23*C$21/2+$B$8)*$B$20*MIN(1,$B$5)*Assumptions!$B$19*$B$6*Assumptions!$B$20</f>
        <v>45.0865258166047</v>
      </c>
    </row>
    <row r="24" customFormat="false" ht="15" hidden="false" customHeight="false" outlineLevel="0" collapsed="false">
      <c r="A24" s="25" t="n">
        <v>24</v>
      </c>
      <c r="B24" s="14" t="n">
        <f aca="false">($A24*B$21/2+$B$8)*$B$20*MIN(1,$B$5)*Assumptions!$B$19*$B$6*Assumptions!$B$20</f>
        <v>36.8889756681311</v>
      </c>
      <c r="C24" s="14" t="n">
        <f aca="false">($A24*C$21/2+$B$8)*$B$20*MIN(1,$B$5)*Assumptions!$B$19*$B$6*Assumptions!$B$20</f>
        <v>61.4816261135519</v>
      </c>
    </row>
    <row r="25" customFormat="false" ht="15" hidden="false" customHeight="false" outlineLevel="0" collapsed="false">
      <c r="A25" s="25" t="n">
        <v>32</v>
      </c>
      <c r="B25" s="14" t="n">
        <f aca="false">($A25*B$21/2+$B$8)*$B$20*MIN(1,$B$5)*Assumptions!$B$19*$B$6*Assumptions!$B$20</f>
        <v>45.0865258166047</v>
      </c>
      <c r="C25" s="14" t="n">
        <f aca="false">($A25*C$21/2+$B$8)*$B$20*MIN(1,$B$5)*Assumptions!$B$19*$B$6*Assumptions!$B$20</f>
        <v>77.8767264104991</v>
      </c>
    </row>
    <row r="26" customFormat="false" ht="15" hidden="false" customHeight="false" outlineLevel="0" collapsed="false">
      <c r="A26" s="25" t="n">
        <v>48</v>
      </c>
      <c r="B26" s="14" t="n">
        <f aca="false">($A26*B$21/2+$B$8)*$B$20*MIN(1,$B$5)*Assumptions!$B$19*$B$6*Assumptions!$B$20</f>
        <v>61.4816261135519</v>
      </c>
      <c r="C26" s="14" t="n">
        <f aca="false">($A26*C$21/2+$B$8)*$B$20*MIN(1,$B$5)*Assumptions!$B$19*$B$6*Assumptions!$B$20</f>
        <v>110.666927004393</v>
      </c>
    </row>
    <row r="27" customFormat="false" ht="15" hidden="false" customHeight="false" outlineLevel="0" collapsed="false">
      <c r="A27" s="25" t="n">
        <v>64</v>
      </c>
      <c r="B27" s="14" t="n">
        <f aca="false">($A27*B$21/2+$B$8)*$B$20*MIN(1,$B$5)*Assumptions!$B$19*$B$6*Assumptions!$B$20</f>
        <v>77.8767264104991</v>
      </c>
      <c r="C27" s="14" t="n">
        <f aca="false">($A27*C$21/2+$B$8)*$B$20*MIN(1,$B$5)*Assumptions!$B$19*$B$6*Assumptions!$B$20</f>
        <v>143.457127598288</v>
      </c>
    </row>
    <row r="28" customFormat="false" ht="15" hidden="false" customHeight="false" outlineLevel="0" collapsed="false">
      <c r="A28" s="25" t="n">
        <v>80</v>
      </c>
      <c r="B28" s="14" t="n">
        <f aca="false">($A28*B$21/2+$B$8)*$B$20*MIN(1,$B$5)*Assumptions!$B$19*$B$6*Assumptions!$B$20</f>
        <v>94.2718267074462</v>
      </c>
      <c r="C28" s="14" t="n">
        <f aca="false">($A28*C$21/2+$B$8)*$B$20*MIN(1,$B$5)*Assumptions!$B$19*$B$6*Assumptions!$B$20</f>
        <v>176.247328192182</v>
      </c>
    </row>
    <row r="30" customFormat="false" ht="15" hidden="false" customHeight="false" outlineLevel="0" collapsed="false">
      <c r="A30" s="3" t="s">
        <v>127</v>
      </c>
    </row>
  </sheetData>
  <mergeCells count="1">
    <mergeCell ref="A1:H1"/>
  </mergeCells>
  <conditionalFormatting sqref="B12:C18">
    <cfRule type="expression" priority="2" aboveAverage="0" equalAverage="0" bottom="0" percent="0" rank="0" text="" dxfId="1">
      <formula>B12&gt;=$B$7</formula>
    </cfRule>
    <cfRule type="expression" priority="3" aboveAverage="0" equalAverage="0" bottom="0" percent="0" rank="0" text="" dxfId="1">
      <formula>B12&gt;=$B$7</formula>
    </cfRule>
    <cfRule type="expression" priority="4" aboveAverage="0" equalAverage="0" bottom="0" percent="0" rank="0" text="" dxfId="1">
      <formula>B12&gt;=$B$7</formula>
    </cfRule>
    <cfRule type="expression" priority="5" aboveAverage="0" equalAverage="0" bottom="0" percent="0" rank="0" text="" dxfId="1">
      <formula>B12&gt;=$B$7</formula>
    </cfRule>
    <cfRule type="expression" priority="6" aboveAverage="0" equalAverage="0" bottom="0" percent="0" rank="0" text="" dxfId="1">
      <formula>B12&gt;=$B$7</formula>
    </cfRule>
    <cfRule type="expression" priority="7" aboveAverage="0" equalAverage="0" bottom="0" percent="0" rank="0" text="" dxfId="1">
      <formula>B12&gt;=$B$7</formula>
    </cfRule>
    <cfRule type="expression" priority="8" aboveAverage="0" equalAverage="0" bottom="0" percent="0" rank="0" text="" dxfId="1">
      <formula>B12&gt;=$B$7</formula>
    </cfRule>
  </conditionalFormatting>
  <conditionalFormatting sqref="B22:C28">
    <cfRule type="expression" priority="9" aboveAverage="0" equalAverage="0" bottom="0" percent="0" rank="0" text="" dxfId="1">
      <formula>B22&gt;=$B$7</formula>
    </cfRule>
    <cfRule type="expression" priority="10" aboveAverage="0" equalAverage="0" bottom="0" percent="0" rank="0" text="" dxfId="1">
      <formula>B22&gt;=$B$7</formula>
    </cfRule>
    <cfRule type="expression" priority="11" aboveAverage="0" equalAverage="0" bottom="0" percent="0" rank="0" text="" dxfId="1">
      <formula>B22&gt;=$B$7</formula>
    </cfRule>
    <cfRule type="expression" priority="12" aboveAverage="0" equalAverage="0" bottom="0" percent="0" rank="0" text="" dxfId="1">
      <formula>B22&gt;=$B$7</formula>
    </cfRule>
    <cfRule type="expression" priority="13" aboveAverage="0" equalAverage="0" bottom="0" percent="0" rank="0" text="" dxfId="1">
      <formula>B22&gt;=$B$7</formula>
    </cfRule>
    <cfRule type="expression" priority="14" aboveAverage="0" equalAverage="0" bottom="0" percent="0" rank="0" text="" dxfId="1">
      <formula>B22&gt;=$B$7</formula>
    </cfRule>
    <cfRule type="expression" priority="15" aboveAverage="0" equalAverage="0" bottom="0" percent="0" rank="0" text="" dxfId="1">
      <formula>B22&gt;=$B$7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2026-10-30T01:48:50Z</dcterms:created>
  <dc:creator>openpyxl</dc:creator>
  <dc:description/>
  <dc:language>en-US</dc:language>
  <cp:lastModifiedBy/>
  <dcterms:modified xsi:type="dcterms:W3CDTF">2026-10-30T01:48:50Z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